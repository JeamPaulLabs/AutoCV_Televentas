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mcarvajal.XUMA\Downloads\"/>
    </mc:Choice>
  </mc:AlternateContent>
  <xr:revisionPtr revIDLastSave="0" documentId="13_ncr:1_{6986CE46-A516-4D76-99EF-DC303C511ABA}" xr6:coauthVersionLast="47" xr6:coauthVersionMax="47" xr10:uidLastSave="{00000000-0000-0000-0000-000000000000}"/>
  <bookViews>
    <workbookView xWindow="-120" yWindow="-120" windowWidth="20730" windowHeight="11040" xr2:uid="{6CE91EC0-CB59-4983-980A-9526930D63EA}"/>
  </bookViews>
  <sheets>
    <sheet name="TARIFAS PRODUCT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8" i="1" l="1"/>
  <c r="E34" i="1"/>
  <c r="E35" i="1"/>
  <c r="E36" i="1"/>
  <c r="E37" i="1"/>
  <c r="C33" i="1"/>
  <c r="E33" i="1"/>
  <c r="E32" i="1"/>
  <c r="C32" i="1"/>
  <c r="D20" i="1"/>
  <c r="E20" i="1" s="1"/>
  <c r="D21" i="1"/>
  <c r="E21" i="1" s="1"/>
  <c r="D22" i="1"/>
  <c r="D23" i="1"/>
  <c r="E23" i="1" s="1"/>
  <c r="D24" i="1"/>
  <c r="E24" i="1" s="1"/>
  <c r="D25" i="1"/>
  <c r="D26" i="1"/>
  <c r="E26" i="1" s="1"/>
  <c r="D27" i="1"/>
  <c r="E27" i="1" s="1"/>
  <c r="D28" i="1"/>
  <c r="E28" i="1" s="1"/>
  <c r="D29" i="1"/>
  <c r="E29" i="1" s="1"/>
  <c r="D30" i="1"/>
  <c r="D31" i="1"/>
  <c r="E31" i="1" s="1"/>
  <c r="D19" i="1"/>
  <c r="E19" i="1" s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E10" i="1"/>
  <c r="E9" i="1"/>
  <c r="E8" i="1"/>
  <c r="E11" i="1"/>
  <c r="E12" i="1"/>
  <c r="E13" i="1"/>
  <c r="E14" i="1"/>
  <c r="E15" i="1"/>
  <c r="E16" i="1"/>
  <c r="E17" i="1"/>
  <c r="E18" i="1"/>
  <c r="E7" i="1"/>
  <c r="E6" i="1"/>
  <c r="E4" i="1"/>
  <c r="E5" i="1"/>
  <c r="E3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2" i="1"/>
  <c r="E25" i="1" l="1"/>
  <c r="E30" i="1"/>
  <c r="E22" i="1"/>
</calcChain>
</file>

<file path=xl/sharedStrings.xml><?xml version="1.0" encoding="utf-8"?>
<sst xmlns="http://schemas.openxmlformats.org/spreadsheetml/2006/main" count="74" uniqueCount="28">
  <si>
    <t>TARIFA</t>
  </si>
  <si>
    <t>Asistencia TELEMEDICINA + ODONTOLOGIA + MASCOTAS PLAN 1</t>
  </si>
  <si>
    <t>PLAN 1 CUOTA PROTEGIDA</t>
  </si>
  <si>
    <t>PLAN 2 CUOTA PROTEGIDA</t>
  </si>
  <si>
    <t>VIDA ZURICH PLAN 1</t>
  </si>
  <si>
    <t>VIDA ZURICH PLAN 2</t>
  </si>
  <si>
    <t>VIDA 4 ZURICH PLAN 2</t>
  </si>
  <si>
    <t>RENTA DIARIA POR HOSPITALIZACION ASISTENCIA ZURICH PLAN 1</t>
  </si>
  <si>
    <t>ADELANTA POR ENFERMEDADES GRAVES PLAN 2</t>
  </si>
  <si>
    <t>Televentas</t>
  </si>
  <si>
    <t>Punto de Venta</t>
  </si>
  <si>
    <t>ESTRATEGIA</t>
  </si>
  <si>
    <t>ADELANTA POR ENFERMEDADES GRAVES PLAN 3</t>
  </si>
  <si>
    <t>COBERTURA VIDA 3 PLAN 1</t>
  </si>
  <si>
    <t>COBERTURA VIDA 3 PLAN 4</t>
  </si>
  <si>
    <t>COBERTURA VIDA 3 PLAN 2</t>
  </si>
  <si>
    <t>COBERTURA VIDA 3 PLAN 3</t>
  </si>
  <si>
    <t>ASISTENCIA MEDICA Y ODONTOLOGICA 3 PLAN 1</t>
  </si>
  <si>
    <t>COBERTURA RENTA DIARIA POR HOSPITALIZACION 3 PLAN 4</t>
  </si>
  <si>
    <t>PLAN</t>
  </si>
  <si>
    <t>ESTRATEGIA + PLAN</t>
  </si>
  <si>
    <t>COMISION SERVI</t>
  </si>
  <si>
    <t>Venta en Campo</t>
  </si>
  <si>
    <t>GASTOS MEDICOS POR ACCIDENTE ZURICH PLAN 1</t>
  </si>
  <si>
    <t>COBERTURA RENTA DIARIA POR HOSPITALIZACION 3 PLAN 1</t>
  </si>
  <si>
    <t>TeleventasRENTAN DIARIA POR HOSPITALIZACION ZURICH PLAN 1</t>
  </si>
  <si>
    <t>TeleventasCOBERTURA RENTA DIARIA POR HOSPITALIZACION 3 PLAN 1</t>
  </si>
  <si>
    <t>TeleventasCUOTA PROTEGIDA SILVER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</si>
</sst>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_-[$$-240A]\ * #,##0.00_-;\-[$$-240A]\ * #,##0.00_-;_-[$$-240A]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">
    <xf numFmtId="0" fontId="0" fillId="0" borderId="0" xfId="0"/>
    <xf numFmtId="165" fontId="0" fillId="0" borderId="0" xfId="0" applyNumberFormat="1"/>
    <xf numFmtId="0" fontId="3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65" fontId="0" fillId="0" borderId="1" xfId="0" applyNumberFormat="1" applyBorder="1"/>
    <xf numFmtId="164" fontId="0" fillId="0" borderId="1" xfId="1" applyNumberFormat="1" applyFont="1" applyBorder="1"/>
    <xf numFmtId="164" fontId="0" fillId="0" borderId="2" xfId="1" applyNumberFormat="1" applyFont="1" applyFill="1" applyBorder="1"/>
  </cellXfs>
  <cellStyles count="3">
    <cellStyle name="Moneda" xfId="1" builtinId="4"/>
    <cellStyle name="Moneda 4" xfId="2" xr:uid="{85F72B82-7121-433E-8120-FE9BF008ED6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522A8-E5DA-40D9-911C-C74C8942D5DD}">
  <dimension ref="A1:E38"/>
  <sheetViews>
    <sheetView tabSelected="1" workbookViewId="0">
      <selection sqref="A1:XFD1"/>
    </sheetView>
  </sheetViews>
  <sheetFormatPr baseColWidth="10" defaultRowHeight="15" x14ac:dyDescent="0.25"/>
  <cols>
    <col min="1" max="1" width="15.5703125" bestFit="1" customWidth="1"/>
    <col min="2" max="2" width="58.28515625" customWidth="1"/>
    <col min="3" max="3" width="69.5703125" customWidth="1"/>
    <col min="4" max="4" width="17.85546875" style="1" customWidth="1"/>
    <col min="5" max="5" width="17.7109375" customWidth="1"/>
  </cols>
  <sheetData>
    <row r="1" spans="1:5" s="2" customFormat="1" x14ac:dyDescent="0.25">
      <c r="A1" s="3" t="s">
        <v>11</v>
      </c>
      <c r="B1" s="3" t="s">
        <v>19</v>
      </c>
      <c r="C1" s="3" t="s">
        <v>20</v>
      </c>
      <c r="D1" s="4" t="s">
        <v>0</v>
      </c>
      <c r="E1" s="3" t="s">
        <v>21</v>
      </c>
    </row>
    <row r="2" spans="1:5" x14ac:dyDescent="0.25">
      <c r="A2" s="5" t="s">
        <v>10</v>
      </c>
      <c r="B2" s="5" t="s">
        <v>2</v>
      </c>
      <c r="C2" s="5" t="str">
        <f>A2&amp;B2</f>
        <v>Punto de VentaPLAN 1 CUOTA PROTEGIDA</v>
      </c>
      <c r="D2" s="6">
        <v>14000</v>
      </c>
      <c r="E2" s="7">
        <f>(((D2*12)*9%))</f>
        <v>15120</v>
      </c>
    </row>
    <row r="3" spans="1:5" x14ac:dyDescent="0.25">
      <c r="A3" s="5" t="s">
        <v>10</v>
      </c>
      <c r="B3" s="5" t="s">
        <v>3</v>
      </c>
      <c r="C3" s="5" t="str">
        <f t="shared" ref="C3:C33" si="0">A3&amp;B3</f>
        <v>Punto de VentaPLAN 2 CUOTA PROTEGIDA</v>
      </c>
      <c r="D3" s="6">
        <v>28000</v>
      </c>
      <c r="E3" s="7">
        <f>(((D3*12)*9%))</f>
        <v>30240</v>
      </c>
    </row>
    <row r="4" spans="1:5" x14ac:dyDescent="0.25">
      <c r="A4" s="5" t="s">
        <v>9</v>
      </c>
      <c r="B4" s="5" t="s">
        <v>8</v>
      </c>
      <c r="C4" s="5" t="str">
        <f t="shared" si="0"/>
        <v>TeleventasADELANTA POR ENFERMEDADES GRAVES PLAN 2</v>
      </c>
      <c r="D4" s="6">
        <v>13990</v>
      </c>
      <c r="E4" s="7">
        <f>(D4*12)*16.1%</f>
        <v>27028.68</v>
      </c>
    </row>
    <row r="5" spans="1:5" x14ac:dyDescent="0.25">
      <c r="A5" s="5" t="s">
        <v>9</v>
      </c>
      <c r="B5" s="5" t="s">
        <v>1</v>
      </c>
      <c r="C5" s="5" t="str">
        <f t="shared" si="0"/>
        <v>TeleventasAsistencia TELEMEDICINA + ODONTOLOGIA + MASCOTAS PLAN 1</v>
      </c>
      <c r="D5" s="6">
        <v>12200</v>
      </c>
      <c r="E5" s="7">
        <f>(D5*12)*16.1%</f>
        <v>23570.400000000001</v>
      </c>
    </row>
    <row r="6" spans="1:5" x14ac:dyDescent="0.25">
      <c r="A6" s="5" t="s">
        <v>9</v>
      </c>
      <c r="B6" s="5" t="s">
        <v>2</v>
      </c>
      <c r="C6" s="5" t="str">
        <f t="shared" si="0"/>
        <v>TeleventasPLAN 1 CUOTA PROTEGIDA</v>
      </c>
      <c r="D6" s="6">
        <v>14000</v>
      </c>
      <c r="E6" s="7">
        <f>(((D6*12)*9%)+21000)</f>
        <v>36120</v>
      </c>
    </row>
    <row r="7" spans="1:5" x14ac:dyDescent="0.25">
      <c r="A7" s="5" t="s">
        <v>9</v>
      </c>
      <c r="B7" s="5" t="s">
        <v>3</v>
      </c>
      <c r="C7" s="5" t="str">
        <f t="shared" si="0"/>
        <v>TeleventasPLAN 2 CUOTA PROTEGIDA</v>
      </c>
      <c r="D7" s="6">
        <v>28000</v>
      </c>
      <c r="E7" s="7">
        <f>(((D7*12)*9%)+21000)</f>
        <v>51240</v>
      </c>
    </row>
    <row r="8" spans="1:5" x14ac:dyDescent="0.25">
      <c r="A8" s="5" t="s">
        <v>9</v>
      </c>
      <c r="B8" s="5" t="s">
        <v>7</v>
      </c>
      <c r="C8" s="5" t="str">
        <f t="shared" si="0"/>
        <v>TeleventasRENTA DIARIA POR HOSPITALIZACION ASISTENCIA ZURICH PLAN 1</v>
      </c>
      <c r="D8" s="6">
        <v>12200</v>
      </c>
      <c r="E8" s="7">
        <f>(D8*12)*16.1%</f>
        <v>23570.400000000001</v>
      </c>
    </row>
    <row r="9" spans="1:5" x14ac:dyDescent="0.25">
      <c r="A9" s="5" t="s">
        <v>9</v>
      </c>
      <c r="B9" s="5" t="s">
        <v>6</v>
      </c>
      <c r="C9" s="5" t="str">
        <f t="shared" si="0"/>
        <v>TeleventasVIDA 4 ZURICH PLAN 2</v>
      </c>
      <c r="D9" s="6">
        <v>13990</v>
      </c>
      <c r="E9" s="7">
        <f>(D9*12)*16.1%</f>
        <v>27028.68</v>
      </c>
    </row>
    <row r="10" spans="1:5" x14ac:dyDescent="0.25">
      <c r="A10" s="5" t="s">
        <v>9</v>
      </c>
      <c r="B10" s="5" t="s">
        <v>4</v>
      </c>
      <c r="C10" s="5" t="str">
        <f t="shared" si="0"/>
        <v>TeleventasVIDA ZURICH PLAN 1</v>
      </c>
      <c r="D10" s="6">
        <v>12500</v>
      </c>
      <c r="E10" s="7">
        <f>(D10*12)*16.1%</f>
        <v>24150</v>
      </c>
    </row>
    <row r="11" spans="1:5" x14ac:dyDescent="0.25">
      <c r="A11" s="5" t="s">
        <v>9</v>
      </c>
      <c r="B11" s="5" t="s">
        <v>5</v>
      </c>
      <c r="C11" s="5" t="str">
        <f t="shared" si="0"/>
        <v>TeleventasVIDA ZURICH PLAN 2</v>
      </c>
      <c r="D11" s="6">
        <v>16200</v>
      </c>
      <c r="E11" s="7">
        <f t="shared" ref="E11:E31" si="1">(D11*12)*16.1%</f>
        <v>31298.400000000001</v>
      </c>
    </row>
    <row r="12" spans="1:5" x14ac:dyDescent="0.25">
      <c r="A12" s="5" t="s">
        <v>9</v>
      </c>
      <c r="B12" s="5" t="s">
        <v>12</v>
      </c>
      <c r="C12" s="5" t="str">
        <f t="shared" si="0"/>
        <v>TeleventasADELANTA POR ENFERMEDADES GRAVES PLAN 3</v>
      </c>
      <c r="D12" s="6">
        <v>17990</v>
      </c>
      <c r="E12" s="7">
        <f t="shared" si="1"/>
        <v>34756.68</v>
      </c>
    </row>
    <row r="13" spans="1:5" x14ac:dyDescent="0.25">
      <c r="A13" s="5" t="s">
        <v>9</v>
      </c>
      <c r="B13" s="5" t="s">
        <v>13</v>
      </c>
      <c r="C13" s="5" t="str">
        <f t="shared" si="0"/>
        <v>TeleventasCOBERTURA VIDA 3 PLAN 1</v>
      </c>
      <c r="D13" s="6">
        <v>23900</v>
      </c>
      <c r="E13" s="7">
        <f t="shared" si="1"/>
        <v>46174.8</v>
      </c>
    </row>
    <row r="14" spans="1:5" x14ac:dyDescent="0.25">
      <c r="A14" s="5" t="s">
        <v>9</v>
      </c>
      <c r="B14" s="5" t="s">
        <v>14</v>
      </c>
      <c r="C14" s="5" t="str">
        <f t="shared" si="0"/>
        <v>TeleventasCOBERTURA VIDA 3 PLAN 4</v>
      </c>
      <c r="D14" s="6">
        <v>31990</v>
      </c>
      <c r="E14" s="7">
        <f t="shared" si="1"/>
        <v>61804.68</v>
      </c>
    </row>
    <row r="15" spans="1:5" x14ac:dyDescent="0.25">
      <c r="A15" s="5" t="s">
        <v>9</v>
      </c>
      <c r="B15" s="5" t="s">
        <v>15</v>
      </c>
      <c r="C15" s="5" t="str">
        <f t="shared" si="0"/>
        <v>TeleventasCOBERTURA VIDA 3 PLAN 2</v>
      </c>
      <c r="D15" s="6">
        <v>25990</v>
      </c>
      <c r="E15" s="7">
        <f t="shared" si="1"/>
        <v>50212.68</v>
      </c>
    </row>
    <row r="16" spans="1:5" x14ac:dyDescent="0.25">
      <c r="A16" s="5" t="s">
        <v>9</v>
      </c>
      <c r="B16" s="5" t="s">
        <v>16</v>
      </c>
      <c r="C16" s="5" t="str">
        <f t="shared" si="0"/>
        <v>TeleventasCOBERTURA VIDA 3 PLAN 3</v>
      </c>
      <c r="D16" s="6">
        <v>29990</v>
      </c>
      <c r="E16" s="7">
        <f t="shared" si="1"/>
        <v>57940.68</v>
      </c>
    </row>
    <row r="17" spans="1:5" x14ac:dyDescent="0.25">
      <c r="A17" s="5" t="s">
        <v>9</v>
      </c>
      <c r="B17" s="5" t="s">
        <v>17</v>
      </c>
      <c r="C17" s="5" t="str">
        <f t="shared" si="0"/>
        <v>TeleventasASISTENCIA MEDICA Y ODONTOLOGICA 3 PLAN 1</v>
      </c>
      <c r="D17" s="6">
        <v>23900</v>
      </c>
      <c r="E17" s="7">
        <f t="shared" si="1"/>
        <v>46174.8</v>
      </c>
    </row>
    <row r="18" spans="1:5" x14ac:dyDescent="0.25">
      <c r="A18" s="5" t="s">
        <v>9</v>
      </c>
      <c r="B18" s="5" t="s">
        <v>18</v>
      </c>
      <c r="C18" s="5" t="str">
        <f t="shared" si="0"/>
        <v>TeleventasCOBERTURA RENTA DIARIA POR HOSPITALIZACION 3 PLAN 4</v>
      </c>
      <c r="D18" s="6">
        <v>31990</v>
      </c>
      <c r="E18" s="7">
        <f t="shared" si="1"/>
        <v>61804.68</v>
      </c>
    </row>
    <row r="19" spans="1:5" x14ac:dyDescent="0.25">
      <c r="A19" s="5" t="s">
        <v>22</v>
      </c>
      <c r="B19" s="5" t="s">
        <v>8</v>
      </c>
      <c r="C19" s="5" t="str">
        <f t="shared" si="0"/>
        <v>Venta en CampoADELANTA POR ENFERMEDADES GRAVES PLAN 2</v>
      </c>
      <c r="D19" s="6">
        <f>VLOOKUP(B19,$B$2:$D$18,3,0)</f>
        <v>13990</v>
      </c>
      <c r="E19" s="7">
        <f t="shared" si="1"/>
        <v>27028.68</v>
      </c>
    </row>
    <row r="20" spans="1:5" x14ac:dyDescent="0.25">
      <c r="A20" s="5" t="s">
        <v>22</v>
      </c>
      <c r="B20" s="5" t="s">
        <v>1</v>
      </c>
      <c r="C20" s="5" t="str">
        <f t="shared" si="0"/>
        <v>Venta en CampoAsistencia TELEMEDICINA + ODONTOLOGIA + MASCOTAS PLAN 1</v>
      </c>
      <c r="D20" s="6">
        <f t="shared" ref="D20:D31" si="2">VLOOKUP(B20,$B$2:$D$18,3,0)</f>
        <v>12200</v>
      </c>
      <c r="E20" s="7">
        <f t="shared" si="1"/>
        <v>23570.400000000001</v>
      </c>
    </row>
    <row r="21" spans="1:5" x14ac:dyDescent="0.25">
      <c r="A21" s="5" t="s">
        <v>22</v>
      </c>
      <c r="B21" s="5" t="s">
        <v>7</v>
      </c>
      <c r="C21" s="5" t="str">
        <f t="shared" si="0"/>
        <v>Venta en CampoRENTA DIARIA POR HOSPITALIZACION ASISTENCIA ZURICH PLAN 1</v>
      </c>
      <c r="D21" s="6">
        <f t="shared" si="2"/>
        <v>12200</v>
      </c>
      <c r="E21" s="7">
        <f t="shared" si="1"/>
        <v>23570.400000000001</v>
      </c>
    </row>
    <row r="22" spans="1:5" x14ac:dyDescent="0.25">
      <c r="A22" s="5" t="s">
        <v>22</v>
      </c>
      <c r="B22" s="5" t="s">
        <v>6</v>
      </c>
      <c r="C22" s="5" t="str">
        <f t="shared" si="0"/>
        <v>Venta en CampoVIDA 4 ZURICH PLAN 2</v>
      </c>
      <c r="D22" s="6">
        <f t="shared" si="2"/>
        <v>13990</v>
      </c>
      <c r="E22" s="7">
        <f t="shared" si="1"/>
        <v>27028.68</v>
      </c>
    </row>
    <row r="23" spans="1:5" x14ac:dyDescent="0.25">
      <c r="A23" s="5" t="s">
        <v>22</v>
      </c>
      <c r="B23" s="5" t="s">
        <v>4</v>
      </c>
      <c r="C23" s="5" t="str">
        <f t="shared" si="0"/>
        <v>Venta en CampoVIDA ZURICH PLAN 1</v>
      </c>
      <c r="D23" s="6">
        <f t="shared" si="2"/>
        <v>12500</v>
      </c>
      <c r="E23" s="7">
        <f t="shared" si="1"/>
        <v>24150</v>
      </c>
    </row>
    <row r="24" spans="1:5" x14ac:dyDescent="0.25">
      <c r="A24" s="5" t="s">
        <v>22</v>
      </c>
      <c r="B24" s="5" t="s">
        <v>5</v>
      </c>
      <c r="C24" s="5" t="str">
        <f t="shared" si="0"/>
        <v>Venta en CampoVIDA ZURICH PLAN 2</v>
      </c>
      <c r="D24" s="6">
        <f t="shared" si="2"/>
        <v>16200</v>
      </c>
      <c r="E24" s="7">
        <f t="shared" si="1"/>
        <v>31298.400000000001</v>
      </c>
    </row>
    <row r="25" spans="1:5" x14ac:dyDescent="0.25">
      <c r="A25" s="5" t="s">
        <v>22</v>
      </c>
      <c r="B25" s="5" t="s">
        <v>12</v>
      </c>
      <c r="C25" s="5" t="str">
        <f t="shared" si="0"/>
        <v>Venta en CampoADELANTA POR ENFERMEDADES GRAVES PLAN 3</v>
      </c>
      <c r="D25" s="6">
        <f t="shared" si="2"/>
        <v>17990</v>
      </c>
      <c r="E25" s="7">
        <f t="shared" si="1"/>
        <v>34756.68</v>
      </c>
    </row>
    <row r="26" spans="1:5" x14ac:dyDescent="0.25">
      <c r="A26" s="5" t="s">
        <v>22</v>
      </c>
      <c r="B26" s="5" t="s">
        <v>13</v>
      </c>
      <c r="C26" s="5" t="str">
        <f t="shared" si="0"/>
        <v>Venta en CampoCOBERTURA VIDA 3 PLAN 1</v>
      </c>
      <c r="D26" s="6">
        <f t="shared" si="2"/>
        <v>23900</v>
      </c>
      <c r="E26" s="7">
        <f t="shared" si="1"/>
        <v>46174.8</v>
      </c>
    </row>
    <row r="27" spans="1:5" x14ac:dyDescent="0.25">
      <c r="A27" s="5" t="s">
        <v>22</v>
      </c>
      <c r="B27" s="5" t="s">
        <v>14</v>
      </c>
      <c r="C27" s="5" t="str">
        <f t="shared" si="0"/>
        <v>Venta en CampoCOBERTURA VIDA 3 PLAN 4</v>
      </c>
      <c r="D27" s="6">
        <f t="shared" si="2"/>
        <v>31990</v>
      </c>
      <c r="E27" s="7">
        <f t="shared" si="1"/>
        <v>61804.68</v>
      </c>
    </row>
    <row r="28" spans="1:5" x14ac:dyDescent="0.25">
      <c r="A28" s="5" t="s">
        <v>22</v>
      </c>
      <c r="B28" s="5" t="s">
        <v>15</v>
      </c>
      <c r="C28" s="5" t="str">
        <f t="shared" si="0"/>
        <v>Venta en CampoCOBERTURA VIDA 3 PLAN 2</v>
      </c>
      <c r="D28" s="6">
        <f t="shared" si="2"/>
        <v>25990</v>
      </c>
      <c r="E28" s="7">
        <f t="shared" si="1"/>
        <v>50212.68</v>
      </c>
    </row>
    <row r="29" spans="1:5" x14ac:dyDescent="0.25">
      <c r="A29" s="5" t="s">
        <v>22</v>
      </c>
      <c r="B29" s="5" t="s">
        <v>16</v>
      </c>
      <c r="C29" s="5" t="str">
        <f t="shared" si="0"/>
        <v>Venta en CampoCOBERTURA VIDA 3 PLAN 3</v>
      </c>
      <c r="D29" s="6">
        <f t="shared" si="2"/>
        <v>29990</v>
      </c>
      <c r="E29" s="7">
        <f t="shared" si="1"/>
        <v>57940.68</v>
      </c>
    </row>
    <row r="30" spans="1:5" x14ac:dyDescent="0.25">
      <c r="A30" s="5" t="s">
        <v>22</v>
      </c>
      <c r="B30" s="5" t="s">
        <v>17</v>
      </c>
      <c r="C30" s="5" t="str">
        <f t="shared" si="0"/>
        <v>Venta en CampoASISTENCIA MEDICA Y ODONTOLOGICA 3 PLAN 1</v>
      </c>
      <c r="D30" s="6">
        <f t="shared" si="2"/>
        <v>23900</v>
      </c>
      <c r="E30" s="7">
        <f t="shared" si="1"/>
        <v>46174.8</v>
      </c>
    </row>
    <row r="31" spans="1:5" x14ac:dyDescent="0.25">
      <c r="A31" s="5" t="s">
        <v>22</v>
      </c>
      <c r="B31" s="5" t="s">
        <v>18</v>
      </c>
      <c r="C31" s="5" t="str">
        <f t="shared" si="0"/>
        <v>Venta en CampoCOBERTURA RENTA DIARIA POR HOSPITALIZACION 3 PLAN 4</v>
      </c>
      <c r="D31" s="6">
        <f t="shared" si="2"/>
        <v>31990</v>
      </c>
      <c r="E31" s="7">
        <f t="shared" si="1"/>
        <v>61804.68</v>
      </c>
    </row>
    <row r="32" spans="1:5" x14ac:dyDescent="0.25">
      <c r="A32" s="5" t="s">
        <v>22</v>
      </c>
      <c r="B32" s="5" t="s">
        <v>23</v>
      </c>
      <c r="C32" s="5" t="str">
        <f t="shared" si="0"/>
        <v>Venta en CampoGASTOS MEDICOS POR ACCIDENTE ZURICH PLAN 1</v>
      </c>
      <c r="D32" s="6">
        <v>12500</v>
      </c>
      <c r="E32" s="7">
        <f t="shared" ref="E32" si="3">(D32*12)*16.1%</f>
        <v>24150</v>
      </c>
    </row>
    <row r="33" spans="1:5" x14ac:dyDescent="0.25">
      <c r="A33" s="5" t="s">
        <v>9</v>
      </c>
      <c r="B33" s="5" t="s">
        <v>24</v>
      </c>
      <c r="C33" s="5" t="str">
        <f t="shared" si="0"/>
        <v>TeleventasCOBERTURA RENTA DIARIA POR HOSPITALIZACION 3 PLAN 1</v>
      </c>
      <c r="D33" s="6">
        <v>23900</v>
      </c>
      <c r="E33" s="7">
        <f t="shared" ref="E33" si="4">(D33*12)*16.1%</f>
        <v>46174.8</v>
      </c>
    </row>
    <row r="34" spans="1:5" x14ac:dyDescent="0.25">
      <c r="C34" t="s">
        <v>25</v>
      </c>
      <c r="D34" s="1">
        <v>12500</v>
      </c>
      <c r="E34" s="7">
        <f t="shared" ref="E34:E38" si="5">(D34*12)*16.1%</f>
        <v>24150</v>
      </c>
    </row>
    <row r="35" spans="1:5" x14ac:dyDescent="0.25">
      <c r="C35" t="s">
        <v>26</v>
      </c>
      <c r="D35" s="1">
        <v>23900</v>
      </c>
      <c r="E35" s="7">
        <f t="shared" si="5"/>
        <v>46174.8</v>
      </c>
    </row>
    <row r="36" spans="1:5" x14ac:dyDescent="0.25">
      <c r="C36" t="s">
        <v>26</v>
      </c>
      <c r="D36" s="1">
        <v>23900</v>
      </c>
      <c r="E36" s="7">
        <f t="shared" si="5"/>
        <v>46174.8</v>
      </c>
    </row>
    <row r="37" spans="1:5" x14ac:dyDescent="0.25">
      <c r="C37" t="s">
        <v>26</v>
      </c>
      <c r="D37" s="1">
        <v>23900</v>
      </c>
      <c r="E37" s="7">
        <f t="shared" si="5"/>
        <v>46174.8</v>
      </c>
    </row>
    <row r="38" spans="1:5" x14ac:dyDescent="0.25">
      <c r="C38" t="s">
        <v>27</v>
      </c>
      <c r="D38" s="1">
        <v>20000</v>
      </c>
      <c r="E38" s="8">
        <f t="shared" si="5"/>
        <v>38640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TARIFAS 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BPO-BOG-004</dc:creator>
  <cp:lastModifiedBy>Martha Carvajal Oñate</cp:lastModifiedBy>
  <dcterms:created xsi:type="dcterms:W3CDTF">2023-08-04T22:53:36Z</dcterms:created>
  <dcterms:modified xsi:type="dcterms:W3CDTF">2025-05-08T23:21:48Z</dcterms:modified>
</cp:coreProperties>
</file>